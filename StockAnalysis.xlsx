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mgen-RevenueBuild" sheetId="2" state="visible" r:id="rId2"/>
    <sheet name="Amgen-OtherBucket" sheetId="3" state="visible" r:id="rId3"/>
    <sheet name="Amgen-DCF" sheetId="4" state="visible" r:id="rId4"/>
    <sheet name="Amgen-DCF-Sensitivity" sheetId="5" state="visible" r:id="rId5"/>
    <sheet name="Amgen-Valuation" sheetId="6" state="visible" r:id="rId6"/>
    <sheet name="Amgen-Pipeline" sheetId="7" state="visible" r:id="rId7"/>
    <sheet name="Danaher-Segments" sheetId="8" state="visible" r:id="rId8"/>
    <sheet name="Danaher-Valuation" sheetId="9" state="visible" r:id="rId9"/>
    <sheet name="Sandoz-Build" sheetId="10" state="visible" r:id="rId10"/>
    <sheet name="Sandoz-Valuation" sheetId="11" state="visible" r:id="rId11"/>
    <sheet name="Sour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666666"/>
      <sz val="9"/>
    </font>
    <font>
      <b val="1"/>
      <color rgb="00FFFFFF"/>
      <sz val="11"/>
    </font>
    <font>
      <color rgb="000563C1"/>
      <sz val="10"/>
      <u val="single"/>
    </font>
    <font>
      <b val="1"/>
    </font>
    <font>
      <b val="1"/>
      <color rgb="001F3864"/>
    </font>
    <font>
      <b val="1"/>
      <color rgb="00C00000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0" borderId="0" pivotButton="0" quotePrefix="0" xfId="0"/>
    <xf numFmtId="0" fontId="5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ockanalysis.com/stocks/amgn/statistics/" TargetMode="External" Id="rId1" /><Relationship Type="http://schemas.openxmlformats.org/officeDocument/2006/relationships/hyperlink" Target="https://www.tikr.com/blog/danaher-stock-is-down-19-in-the-past-3-months-could-dhr-reach-248" TargetMode="External" Id="rId2" /><Relationship Type="http://schemas.openxmlformats.org/officeDocument/2006/relationships/hyperlink" Target="https://www.investing.com/equities/sandoz" TargetMode="External" Id="rId3" /><Relationship Type="http://schemas.openxmlformats.org/officeDocument/2006/relationships/hyperlink" Target="https://stockanalysis.com/stocks/gh/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mgen.com/newsroom/press-releases/2026/04/amgen-reports-first-quarter-2026-financial-results" TargetMode="External" Id="rId1" /><Relationship Type="http://schemas.openxmlformats.org/officeDocument/2006/relationships/hyperlink" Target="https://www.sec.gov/Archives/edgar/data/0000318154/000031815426000003/amgn-20251231earningsrelea.htm" TargetMode="External" Id="rId2" /><Relationship Type="http://schemas.openxmlformats.org/officeDocument/2006/relationships/hyperlink" Target="https://www.sec.gov/Archives/edgar/data/0000318154/000031815426000003/amgn-20251231earningsrelea.htm" TargetMode="External" Id="rId3" /><Relationship Type="http://schemas.openxmlformats.org/officeDocument/2006/relationships/hyperlink" Target="https://www.sec.gov/Archives/edgar/data/0000318154/000031815426000003/amgn-20251231earningsrelea.htm" TargetMode="External" Id="rId4" /><Relationship Type="http://schemas.openxmlformats.org/officeDocument/2006/relationships/hyperlink" Target="https://www.sec.gov/Archives/edgar/data/0000318154/000031815426000003/amgn-20251231earningsrelea.htm" TargetMode="External" Id="rId5" /><Relationship Type="http://schemas.openxmlformats.org/officeDocument/2006/relationships/hyperlink" Target="https://www.amgen.com/newsroom/press-releases/2026/04/amgen-reports-first-quarter-2026-financial-results" TargetMode="External" Id="rId6" /><Relationship Type="http://schemas.openxmlformats.org/officeDocument/2006/relationships/hyperlink" Target="https://www.amgen.com/newsroom/press-releases/2026/04/amgen-reports-first-quarter-2026-financial-results" TargetMode="External" Id="rId7" /><Relationship Type="http://schemas.openxmlformats.org/officeDocument/2006/relationships/hyperlink" Target="https://www.sec.gov/Archives/edgar/data/0000318154/000031815426000003/amgn-20251231earningsrelea.htm" TargetMode="External" Id="rId8" /><Relationship Type="http://schemas.openxmlformats.org/officeDocument/2006/relationships/hyperlink" Target="https://www.sec.gov/Archives/edgar/data/0000318154/000031815426000003/amgn-20251231earningsrelea.htm" TargetMode="External" Id="rId9" /><Relationship Type="http://schemas.openxmlformats.org/officeDocument/2006/relationships/hyperlink" Target="https://www.sec.gov/Archives/edgar/data/0000318154/000031815426000054/amgn-20260331earningsrelea.htm" TargetMode="External" Id="rId10" /><Relationship Type="http://schemas.openxmlformats.org/officeDocument/2006/relationships/hyperlink" Target="https://seekingalpha.com/news/4546762-amgen-outlines-37b-38_4b-2026-revenue-target-as-repatha-evenity-and-tezspire-drive-momentum" TargetMode="External" Id="rId1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c.gov/Archives/edgar/data/0000318154/000031815426000054/amgn-20260331earningsrelea.htm" TargetMode="External" Id="rId1" /><Relationship Type="http://schemas.openxmlformats.org/officeDocument/2006/relationships/hyperlink" Target="https://www.sec.gov/Archives/edgar/data/0000318154/000031815426000054/amgn-20260331earningsrelea.htm" TargetMode="External" Id="rId2" /><Relationship Type="http://schemas.openxmlformats.org/officeDocument/2006/relationships/hyperlink" Target="https://www.sec.gov/Archives/edgar/data/0000318154/000031815426000054/amgn-20260331earningsrelea.htm" TargetMode="External" Id="rId3" /><Relationship Type="http://schemas.openxmlformats.org/officeDocument/2006/relationships/hyperlink" Target="https://www.sec.gov/Archives/edgar/data/0000318154/000031815426000054/amgn-20260331earningsrelea.htm" TargetMode="External" Id="rId4" /><Relationship Type="http://schemas.openxmlformats.org/officeDocument/2006/relationships/hyperlink" Target="https://www.sec.gov/Archives/edgar/data/0000318154/000031815426000054/amgn-20260331earningsrelea.htm" TargetMode="External" Id="rId5" /><Relationship Type="http://schemas.openxmlformats.org/officeDocument/2006/relationships/hyperlink" Target="https://www.sec.gov/Archives/edgar/data/0000318154/000031815426000054/amgn-20260331earningsrelea.htm" TargetMode="External" Id="rId6" /><Relationship Type="http://schemas.openxmlformats.org/officeDocument/2006/relationships/hyperlink" Target="https://www.sec.gov/Archives/edgar/data/0000318154/000031815426000054/amgn-20260331earningsrelea.htm" TargetMode="External" Id="rId7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sec.gov/Archives/edgar/data/0000318154/000031815426000003/amgn-20251231earningsrelea.htm" TargetMode="External" Id="rId1" /><Relationship Type="http://schemas.openxmlformats.org/officeDocument/2006/relationships/hyperlink" Target="https://www.sec.gov/Archives/edgar/data/0000318154/000031815426000003/amgn-20251231earningsrelea.htm" TargetMode="External" Id="rId2" /><Relationship Type="http://schemas.openxmlformats.org/officeDocument/2006/relationships/hyperlink" Target="https://www.sec.gov/Archives/edgar/data/0000318154/000031815426000003/amgn-20251231earningsrelea.htm" TargetMode="External" Id="rId3" /><Relationship Type="http://schemas.openxmlformats.org/officeDocument/2006/relationships/hyperlink" Target="https://www.sec.gov/Archives/edgar/data/0000318154/000031815426000003/amgn-20251231earningsrelea.htm" TargetMode="External" Id="rId4" /><Relationship Type="http://schemas.openxmlformats.org/officeDocument/2006/relationships/hyperlink" Target="https://stockanalysis.com/stocks/amgn/statistics/" TargetMode="External" Id="rId5" /><Relationship Type="http://schemas.openxmlformats.org/officeDocument/2006/relationships/hyperlink" Target="https://stockanalysis.com/stocks/amgn/statistics/" TargetMode="External" Id="rId6" /></Relationships>
</file>

<file path=xl/worksheets/_rels/sheet6.xml.rels><Relationships xmlns="http://schemas.openxmlformats.org/package/2006/relationships"><Relationship Type="http://schemas.openxmlformats.org/officeDocument/2006/relationships/hyperlink" Target="https://seekingalpha.com/news/4546762-amgen-outlines-37b-38_4b-2026-revenue-target-as-repatha-evenity-and-tezspire-drive-momentum" TargetMode="External" Id="rId1" /><Relationship Type="http://schemas.openxmlformats.org/officeDocument/2006/relationships/hyperlink" Target="https://seekingalpha.com/news/4546762-amgen-outlines-37b-38_4b-2026-revenue-target-as-repatha-evenity-and-tezspire-drive-momentum" TargetMode="External" Id="rId2" /><Relationship Type="http://schemas.openxmlformats.org/officeDocument/2006/relationships/hyperlink" Target="https://seekingalpha.com/news/4546762-amgen-outlines-37b-38_4b-2026-revenue-target-as-repatha-evenity-and-tezspire-drive-momentum" TargetMode="External" Id="rId3" /></Relationships>
</file>

<file path=xl/worksheets/_rels/sheet7.xml.rels><Relationships xmlns="http://schemas.openxmlformats.org/package/2006/relationships"><Relationship Type="http://schemas.openxmlformats.org/officeDocument/2006/relationships/hyperlink" Target="https://investors.amgen.com/news-releases/news-release-details/amgen-announces-robust-weight-loss-maritide-people-living/" TargetMode="External" Id="rId1" /><Relationship Type="http://schemas.openxmlformats.org/officeDocument/2006/relationships/hyperlink" Target="https://www.labiotech.eu/in-depth/amgen-pipeline-strategy/" TargetMode="External" Id="rId2" /><Relationship Type="http://schemas.openxmlformats.org/officeDocument/2006/relationships/hyperlink" Target="https://www.labiotech.eu/in-depth/amgen-pipeline-strategy/" TargetMode="External" Id="rId3" /><Relationship Type="http://schemas.openxmlformats.org/officeDocument/2006/relationships/hyperlink" Target="https://www.labiotech.eu/in-depth/amgen-pipeline-strategy/" TargetMode="External" Id="rId4" /><Relationship Type="http://schemas.openxmlformats.org/officeDocument/2006/relationships/hyperlink" Target="https://www.labiotech.eu/in-depth/amgen-pipeline-strategy/" TargetMode="External" Id="rId5" /><Relationship Type="http://schemas.openxmlformats.org/officeDocument/2006/relationships/hyperlink" Target="https://www.sec.gov/Archives/edgar/data/0000318154/000031815426000054/amgn-20260331earningsrelea.htm" TargetMode="External" Id="rId6" /><Relationship Type="http://schemas.openxmlformats.org/officeDocument/2006/relationships/hyperlink" Target="https://www.fiercepharma.com/pharma/2030-eli-lilly-will-generate-113b-drug-sales-including-62b-mounjaro-zepbound-evaluate" TargetMode="External" Id="rId7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investing.com/news/company-news/danaher-q4-2025-slides-revenue-growth-solid-despite-margin-pressure-93CH-4470615" TargetMode="External" Id="rId1" /><Relationship Type="http://schemas.openxmlformats.org/officeDocument/2006/relationships/hyperlink" Target="https://www.investing.com/news/company-news/danaher-q4-2025-slides-revenue-growth-solid-despite-margin-pressure-93CH-4470615" TargetMode="External" Id="rId2" /><Relationship Type="http://schemas.openxmlformats.org/officeDocument/2006/relationships/hyperlink" Target="https://www.investing.com/news/company-news/danaher-q4-2025-slides-revenue-growth-solid-despite-margin-pressure-93CH-4470615" TargetMode="External" Id="rId3" /><Relationship Type="http://schemas.openxmlformats.org/officeDocument/2006/relationships/hyperlink" Target="https://www.stocktitan.net/sec-filings/DHR/ars-danaher-corp-de-sec-filing-3f1740b11e9d.html" TargetMode="External" Id="rId4" /><Relationship Type="http://schemas.openxmlformats.org/officeDocument/2006/relationships/hyperlink" Target="https://www.tikr.com/blog/danaher-stock-is-down-19-in-the-past-3-months-could-dhr-reach-248" TargetMode="External" Id="rId5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tikr.com/blog/danaher-stock-is-down-19-in-the-past-3-months-could-dhr-reach-248" TargetMode="External" Id="rId1" /><Relationship Type="http://schemas.openxmlformats.org/officeDocument/2006/relationships/hyperlink" Target="https://www.tikr.com/blog/danaher-stock-is-down-19-in-the-past-3-months-could-dhr-reach-248" TargetMode="External" Id="rId2" /><Relationship Type="http://schemas.openxmlformats.org/officeDocument/2006/relationships/hyperlink" Target="https://www.tikr.com/blog/danaher-stock-is-down-19-in-the-past-3-months-could-dhr-reach-248" TargetMode="External" Id="rId3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investing.com/news/company-news/sandoz-fy-2025-slides-biosimilar-surge-drives-24-stock-gain-93CH-4523555" TargetMode="External" Id="rId1" /><Relationship Type="http://schemas.openxmlformats.org/officeDocument/2006/relationships/hyperlink" Target="https://www.investing.com/news/company-news/sandoz-fy-2025-slides-biosimilar-surge-drives-24-stock-gain-93CH-4523555" TargetMode="External" Id="rId2" /><Relationship Type="http://schemas.openxmlformats.org/officeDocument/2006/relationships/hyperlink" Target="https://pharmaceuticaldaily.com/sandoz-reports-7-revenue-growth-in-2025-expands-biosimilars-and-projects-stronger-2026-outlook/" TargetMode="External" Id="rId3" /></Relationships>
</file>

<file path=xl/worksheets/_rels/sheet11.xml.rels><Relationships xmlns="http://schemas.openxmlformats.org/package/2006/relationships"><Relationship Type="http://schemas.openxmlformats.org/officeDocument/2006/relationships/hyperlink" Target="https://pharmaceuticaldaily.com/sandoz-reports-7-revenue-growth-in-2025-expands-biosimilars-and-projects-stronger-2026-outlook/" TargetMode="External" Id="rId1" /><Relationship Type="http://schemas.openxmlformats.org/officeDocument/2006/relationships/hyperlink" Target="https://pharmaceuticaldaily.com/sandoz-reports-7-revenue-growth-in-2025-expands-biosimilars-and-projects-stronger-2026-outlook/" TargetMode="External" Id="rId2" /><Relationship Type="http://schemas.openxmlformats.org/officeDocument/2006/relationships/hyperlink" Target="https://pharmaceuticaldaily.com/sandoz-reports-7-revenue-growth-in-2025-expands-biosimilars-and-projects-stronger-2026-outlook/" TargetMode="External" Id="rId3" /></Relationships>
</file>

<file path=xl/worksheets/_rels/sheet12.xml.rels><Relationships xmlns="http://schemas.openxmlformats.org/package/2006/relationships"><Relationship Type="http://schemas.openxmlformats.org/officeDocument/2006/relationships/hyperlink" Target="https://seekingalpha.com/news/4546762-amgen-outlines-37b-38_4b-2026-revenue-target-as-repatha-evenity-and-tezspire-drive-momentum" TargetMode="External" Id="rId1" /><Relationship Type="http://schemas.openxmlformats.org/officeDocument/2006/relationships/hyperlink" Target="https://stockanalysis.com/stocks/amgn/statistics/" TargetMode="External" Id="rId2" /><Relationship Type="http://schemas.openxmlformats.org/officeDocument/2006/relationships/hyperlink" Target="https://www.sec.gov/Archives/edgar/data/0000318154/000031815426000054/amgn-20260331earningsrelea.htm" TargetMode="External" Id="rId3" /><Relationship Type="http://schemas.openxmlformats.org/officeDocument/2006/relationships/hyperlink" Target="https://www.amgen.com/newsroom/press-releases/2026/04/amgen-reports-first-quarter-2026-financial-results" TargetMode="External" Id="rId4" /><Relationship Type="http://schemas.openxmlformats.org/officeDocument/2006/relationships/hyperlink" Target="https://www.sec.gov/Archives/edgar/data/0000318154/000031815426000003/amgn-20251231earningsrelea.htm" TargetMode="External" Id="rId5" /><Relationship Type="http://schemas.openxmlformats.org/officeDocument/2006/relationships/hyperlink" Target="https://investors.amgen.com/news-releases/news-release-details/amgen-announces-robust-weight-loss-maritide-people-living/" TargetMode="External" Id="rId6" /><Relationship Type="http://schemas.openxmlformats.org/officeDocument/2006/relationships/hyperlink" Target="https://www.labiotech.eu/in-depth/amgen-pipeline-strategy/" TargetMode="External" Id="rId7" /><Relationship Type="http://schemas.openxmlformats.org/officeDocument/2006/relationships/hyperlink" Target="https://www.fiercepharma.com/pharma/2030-eli-lilly-will-generate-113b-drug-sales-including-62b-mounjaro-zepbound-evaluate" TargetMode="External" Id="rId8" /><Relationship Type="http://schemas.openxmlformats.org/officeDocument/2006/relationships/hyperlink" Target="https://www.investing.com/news/company-news/danaher-q4-2025-slides-revenue-growth-solid-despite-margin-pressure-93CH-4470615" TargetMode="External" Id="rId9" /><Relationship Type="http://schemas.openxmlformats.org/officeDocument/2006/relationships/hyperlink" Target="https://www.stocktitan.net/sec-filings/DHR/ars-danaher-corp-de-sec-filing-3f1740b11e9d.html" TargetMode="External" Id="rId10" /><Relationship Type="http://schemas.openxmlformats.org/officeDocument/2006/relationships/hyperlink" Target="https://www.tikr.com/blog/danaher-stock-is-down-19-in-the-past-3-months-could-dhr-reach-248" TargetMode="External" Id="rId11" /><Relationship Type="http://schemas.openxmlformats.org/officeDocument/2006/relationships/hyperlink" Target="https://www.investing.com/news/company-news/sandoz-fy-2025-slides-biosimilar-surge-drives-24-stock-gain-93CH-4523555" TargetMode="External" Id="rId12" /><Relationship Type="http://schemas.openxmlformats.org/officeDocument/2006/relationships/hyperlink" Target="https://pharmaceuticaldaily.com/sandoz-reports-7-revenue-growth-in-2025-expands-biosimilars-and-projects-stronger-2026-outlook/" TargetMode="External" Id="rId13" /><Relationship Type="http://schemas.openxmlformats.org/officeDocument/2006/relationships/hyperlink" Target="https://www.investing.com/equities/sandoz" TargetMode="External" Id="rId14" /><Relationship Type="http://schemas.openxmlformats.org/officeDocument/2006/relationships/hyperlink" Target="https://stockanalysis.com/stocks/gh/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10" customWidth="1" min="4" max="4"/>
    <col width="16" customWidth="1" min="5" max="5"/>
    <col width="18" customWidth="1" min="6" max="6"/>
    <col width="22" customWidth="1" min="7" max="7"/>
    <col width="38" customWidth="1" min="8" max="8"/>
  </cols>
  <sheetData>
    <row r="1">
      <c r="A1" s="1" t="inlineStr">
        <is>
          <t>Equity Research Summary - ratings &amp; targets (late May 2026)</t>
        </is>
      </c>
    </row>
    <row r="2">
      <c r="A2" s="2" t="inlineStr">
        <is>
          <t>Educational exercise; NOT investment advice. Figures from public sources as of late May 2026. 'E' = illustrative estimate. Detail sheets cover Amgen/Danaher/Sandoz; the full Guardant Health model lives in GuardantHealthAnalysis.md.</t>
        </is>
      </c>
    </row>
    <row r="4">
      <c r="A4" s="3" t="inlineStr">
        <is>
          <t>Company</t>
        </is>
      </c>
      <c r="B4" s="3" t="inlineStr">
        <is>
          <t>Ticker</t>
        </is>
      </c>
      <c r="C4" s="3" t="inlineStr">
        <is>
          <t>Segment</t>
        </is>
      </c>
      <c r="D4" s="3" t="inlineStr">
        <is>
          <t>Price*</t>
        </is>
      </c>
      <c r="E4" s="3" t="inlineStr">
        <is>
          <t>Rating</t>
        </is>
      </c>
      <c r="F4" s="3" t="inlineStr">
        <is>
          <t>Base 12-mo target</t>
        </is>
      </c>
      <c r="G4" s="3" t="inlineStr">
        <is>
          <t>Implied return**</t>
        </is>
      </c>
      <c r="H4" s="3" t="inlineStr">
        <is>
          <t>Source</t>
        </is>
      </c>
    </row>
    <row r="5">
      <c r="A5" s="4" t="inlineStr">
        <is>
          <t>Amgen</t>
        </is>
      </c>
      <c r="B5" s="5" t="inlineStr">
        <is>
          <t>AMGN (Nasdaq)</t>
        </is>
      </c>
      <c r="C5" s="5" t="inlineStr">
        <is>
          <t>Big-cap biopharma (drugs)</t>
        </is>
      </c>
      <c r="D5" s="5" t="inlineStr">
        <is>
          <t>~$326</t>
        </is>
      </c>
      <c r="E5" s="5" t="inlineStr">
        <is>
          <t>BUY</t>
        </is>
      </c>
      <c r="F5" s="5" t="inlineStr">
        <is>
          <t>~$365</t>
        </is>
      </c>
      <c r="G5" s="5" t="inlineStr">
        <is>
          <t>~+12% + 2.8% yield</t>
        </is>
      </c>
      <c r="H5" s="6" t="inlineStr">
        <is>
          <t>stockanalysis.com - AMGN statistics</t>
        </is>
      </c>
    </row>
    <row r="6">
      <c r="A6" s="4" t="inlineStr">
        <is>
          <t>Danaher</t>
        </is>
      </c>
      <c r="B6" s="5" t="inlineStr">
        <is>
          <t>DHR (NYSE)</t>
        </is>
      </c>
      <c r="C6" s="5" t="inlineStr">
        <is>
          <t>Picks &amp; shovels for biopharma</t>
        </is>
      </c>
      <c r="D6" s="5" t="inlineStr">
        <is>
          <t>~$190</t>
        </is>
      </c>
      <c r="E6" s="5" t="inlineStr">
        <is>
          <t>BUY / Accumulate</t>
        </is>
      </c>
      <c r="F6" s="5" t="inlineStr">
        <is>
          <t>~$225</t>
        </is>
      </c>
      <c r="G6" s="5" t="inlineStr">
        <is>
          <t>~+18% + 0.5% yield</t>
        </is>
      </c>
      <c r="H6" s="6" t="inlineStr">
        <is>
          <t>TIKR - Danaher forecast/valuation</t>
        </is>
      </c>
    </row>
    <row r="7">
      <c r="A7" s="4" t="inlineStr">
        <is>
          <t>Sandoz</t>
        </is>
      </c>
      <c r="B7" s="5" t="inlineStr">
        <is>
          <t>SDZ (SIX, Swiss)</t>
        </is>
      </c>
      <c r="C7" s="5" t="inlineStr">
        <is>
          <t>Generics + biosimilars</t>
        </is>
      </c>
      <c r="D7" s="5" t="inlineStr">
        <is>
          <t>~CHF 66</t>
        </is>
      </c>
      <c r="E7" s="5" t="inlineStr">
        <is>
          <t>HOLD</t>
        </is>
      </c>
      <c r="F7" s="5" t="inlineStr">
        <is>
          <t>~CHF 70</t>
        </is>
      </c>
      <c r="G7" s="5" t="inlineStr">
        <is>
          <t>~+6% + 1.2% yield</t>
        </is>
      </c>
      <c r="H7" s="6" t="inlineStr">
        <is>
          <t>Investing.com - Sandoz price/market data</t>
        </is>
      </c>
    </row>
    <row r="8">
      <c r="A8" s="4" t="inlineStr">
        <is>
          <t>Guardant Health</t>
        </is>
      </c>
      <c r="B8" s="5" t="inlineStr">
        <is>
          <t>GH (Nasdaq)</t>
        </is>
      </c>
      <c r="C8" s="5" t="inlineStr">
        <is>
          <t>Liquid-biopsy diagnostics</t>
        </is>
      </c>
      <c r="D8" s="5" t="inlineStr">
        <is>
          <t>~$127</t>
        </is>
      </c>
      <c r="E8" s="5" t="inlineStr">
        <is>
          <t>BUY (high risk)</t>
        </is>
      </c>
      <c r="F8" s="5" t="inlineStr">
        <is>
          <t>~$150</t>
        </is>
      </c>
      <c r="G8" s="5" t="inlineStr">
        <is>
          <t>~+18% (no dividend)</t>
        </is>
      </c>
      <c r="H8" s="6" t="inlineStr">
        <is>
          <t>stockanalysis.com - GH statistics</t>
        </is>
      </c>
    </row>
  </sheetData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9" customWidth="1" min="3" max="3"/>
    <col width="10" customWidth="1" min="4" max="4"/>
    <col width="9" customWidth="1" min="5" max="5"/>
    <col width="10" customWidth="1" min="6" max="6"/>
    <col width="38" customWidth="1" min="7" max="7"/>
    <col width="34" customWidth="1" min="8" max="8"/>
  </cols>
  <sheetData>
    <row r="1">
      <c r="A1" s="1" t="inlineStr">
        <is>
          <t>Amgen - bottom-up revenue build ($M)</t>
        </is>
      </c>
    </row>
    <row r="2">
      <c r="A2" s="2" t="inlineStr">
        <is>
          <t>FY2025A = scraped actual (source per row). 2026E/2027E columns are analyst estimates (E).</t>
        </is>
      </c>
    </row>
    <row r="4">
      <c r="A4" s="3" t="inlineStr">
        <is>
          <t>Product</t>
        </is>
      </c>
      <c r="B4" s="3" t="inlineStr">
        <is>
          <t>FY2025A</t>
        </is>
      </c>
      <c r="C4" s="3" t="inlineStr">
        <is>
          <t>'26E gr.</t>
        </is>
      </c>
      <c r="D4" s="3" t="inlineStr">
        <is>
          <t>2026E</t>
        </is>
      </c>
      <c r="E4" s="3" t="inlineStr">
        <is>
          <t>'27E gr.</t>
        </is>
      </c>
      <c r="F4" s="3" t="inlineStr">
        <is>
          <t>2027E</t>
        </is>
      </c>
      <c r="G4" s="3" t="inlineStr">
        <is>
          <t>Rationale</t>
        </is>
      </c>
      <c r="H4" s="3" t="inlineStr">
        <is>
          <t>Source</t>
        </is>
      </c>
    </row>
    <row r="5">
      <c r="A5" s="4" t="inlineStr">
        <is>
          <t>Prolia</t>
        </is>
      </c>
      <c r="B5" s="5" t="n">
        <v>4410</v>
      </c>
      <c r="C5" s="5" t="inlineStr">
        <is>
          <t>-30%</t>
        </is>
      </c>
      <c r="D5" s="5" t="n">
        <v>3087</v>
      </c>
      <c r="E5" s="5" t="inlineStr">
        <is>
          <t>-25%</t>
        </is>
      </c>
      <c r="F5" s="5" t="n">
        <v>2315</v>
      </c>
      <c r="G5" s="5" t="inlineStr">
        <is>
          <t>Biosimilar cliff (Q1'26 -34%)</t>
        </is>
      </c>
      <c r="H5" s="6" t="inlineStr">
        <is>
          <t>Amgen newsroom - Q1 2026 results</t>
        </is>
      </c>
    </row>
    <row r="6">
      <c r="A6" s="4" t="inlineStr">
        <is>
          <t>Repatha</t>
        </is>
      </c>
      <c r="B6" s="5" t="n">
        <v>3020</v>
      </c>
      <c r="C6" s="5" t="inlineStr">
        <is>
          <t>+28%</t>
        </is>
      </c>
      <c r="D6" s="5" t="n">
        <v>3866</v>
      </c>
      <c r="E6" s="5" t="inlineStr">
        <is>
          <t>+20%</t>
        </is>
      </c>
      <c r="F6" s="5" t="n">
        <v>4639</v>
      </c>
      <c r="G6" s="5" t="inlineStr">
        <is>
          <t>FY25 +36%; VESALIUS-CV expands patients</t>
        </is>
      </c>
      <c r="H6" s="6" t="inlineStr">
        <is>
          <t>SEC - Amgen FY2025 8-K (margin/tax)</t>
        </is>
      </c>
    </row>
    <row r="7">
      <c r="A7" s="4" t="inlineStr">
        <is>
          <t>EVENITY</t>
        </is>
      </c>
      <c r="B7" s="5" t="n">
        <v>2100</v>
      </c>
      <c r="C7" s="5" t="inlineStr">
        <is>
          <t>+25%</t>
        </is>
      </c>
      <c r="D7" s="5" t="n">
        <v>2625</v>
      </c>
      <c r="E7" s="5" t="inlineStr">
        <is>
          <t>+18%</t>
        </is>
      </c>
      <c r="F7" s="5" t="n">
        <v>3098</v>
      </c>
      <c r="G7" s="5" t="inlineStr">
        <is>
          <t>FY25 +34%; volume momentum</t>
        </is>
      </c>
      <c r="H7" s="6" t="inlineStr">
        <is>
          <t>SEC - Amgen FY2025 8-K (margin/tax)</t>
        </is>
      </c>
    </row>
    <row r="8">
      <c r="A8" s="4" t="inlineStr">
        <is>
          <t>TEZSPIRE</t>
        </is>
      </c>
      <c r="B8" s="5" t="n">
        <v>1480</v>
      </c>
      <c r="C8" s="5" t="inlineStr">
        <is>
          <t>+28%</t>
        </is>
      </c>
      <c r="D8" s="5" t="n">
        <v>1894</v>
      </c>
      <c r="E8" s="5" t="inlineStr">
        <is>
          <t>+22%</t>
        </is>
      </c>
      <c r="F8" s="5" t="n">
        <v>2311</v>
      </c>
      <c r="G8" s="5" t="inlineStr">
        <is>
          <t>FY25 +52%; asthma share gains</t>
        </is>
      </c>
      <c r="H8" s="6" t="inlineStr">
        <is>
          <t>SEC - Amgen FY2025 8-K (margin/tax)</t>
        </is>
      </c>
    </row>
    <row r="9">
      <c r="A9" s="4" t="inlineStr">
        <is>
          <t>TEPEZZA</t>
        </is>
      </c>
      <c r="B9" s="5" t="n">
        <v>1900</v>
      </c>
      <c r="C9" s="5" t="inlineStr">
        <is>
          <t>+8%</t>
        </is>
      </c>
      <c r="D9" s="5" t="n">
        <v>2052</v>
      </c>
      <c r="E9" s="5" t="inlineStr">
        <is>
          <t>+6%</t>
        </is>
      </c>
      <c r="F9" s="5" t="n">
        <v>2175</v>
      </c>
      <c r="G9" s="5" t="inlineStr">
        <is>
          <t>Normalizing after inventory swings</t>
        </is>
      </c>
      <c r="H9" s="6" t="inlineStr">
        <is>
          <t>SEC - Amgen FY2025 8-K (margin/tax)</t>
        </is>
      </c>
    </row>
    <row r="10">
      <c r="A10" s="4" t="inlineStr">
        <is>
          <t>BLINCYTO</t>
        </is>
      </c>
      <c r="B10" s="5" t="n">
        <v>1560</v>
      </c>
      <c r="C10" s="5" t="inlineStr">
        <is>
          <t>+15%</t>
        </is>
      </c>
      <c r="D10" s="5" t="n">
        <v>1794</v>
      </c>
      <c r="E10" s="5" t="inlineStr">
        <is>
          <t>+12%</t>
        </is>
      </c>
      <c r="F10" s="5" t="n">
        <v>2009</v>
      </c>
      <c r="G10" s="5" t="inlineStr">
        <is>
          <t>Q1'26 +12%; broad prescribing</t>
        </is>
      </c>
      <c r="H10" s="6" t="inlineStr">
        <is>
          <t>Amgen newsroom - Q1 2026 results</t>
        </is>
      </c>
    </row>
    <row r="11">
      <c r="A11" s="4" t="inlineStr">
        <is>
          <t>KRYSTEXXA</t>
        </is>
      </c>
      <c r="B11" s="5" t="n">
        <v>1340</v>
      </c>
      <c r="C11" s="5" t="inlineStr">
        <is>
          <t>+10%</t>
        </is>
      </c>
      <c r="D11" s="5" t="n">
        <v>1474</v>
      </c>
      <c r="E11" s="5" t="inlineStr">
        <is>
          <t>+8%</t>
        </is>
      </c>
      <c r="F11" s="5" t="n">
        <v>1592</v>
      </c>
      <c r="G11" s="5" t="inlineStr">
        <is>
          <t>Q1'26 +8%; price + volume</t>
        </is>
      </c>
      <c r="H11" s="6" t="inlineStr">
        <is>
          <t>Amgen newsroom - Q1 2026 results</t>
        </is>
      </c>
    </row>
    <row r="12">
      <c r="A12" s="4" t="inlineStr">
        <is>
          <t>Otezla</t>
        </is>
      </c>
      <c r="B12" s="5" t="n">
        <v>2270</v>
      </c>
      <c r="C12" s="5" t="inlineStr">
        <is>
          <t>-2%</t>
        </is>
      </c>
      <c r="D12" s="5" t="n">
        <v>2225</v>
      </c>
      <c r="E12" s="5" t="inlineStr">
        <is>
          <t>-2%</t>
        </is>
      </c>
      <c r="F12" s="5" t="n">
        <v>2181</v>
      </c>
      <c r="G12" s="5" t="inlineStr">
        <is>
          <t>Mature / competitive</t>
        </is>
      </c>
      <c r="H12" s="6" t="inlineStr">
        <is>
          <t>SEC - Amgen FY2025 8-K (margin/tax)</t>
        </is>
      </c>
    </row>
    <row r="13">
      <c r="A13" s="4" t="inlineStr">
        <is>
          <t>XGEVA</t>
        </is>
      </c>
      <c r="B13" s="5" t="n">
        <v>2080</v>
      </c>
      <c r="C13" s="5" t="inlineStr">
        <is>
          <t>-12%</t>
        </is>
      </c>
      <c r="D13" s="5" t="n">
        <v>1830</v>
      </c>
      <c r="E13" s="5" t="inlineStr">
        <is>
          <t>-12%</t>
        </is>
      </c>
      <c r="F13" s="5" t="n">
        <v>1610</v>
      </c>
      <c r="G13" s="5" t="inlineStr">
        <is>
          <t>Biosimilar pressure</t>
        </is>
      </c>
      <c r="H13" s="6" t="inlineStr">
        <is>
          <t>SEC - Amgen FY2025 8-K (margin/tax)</t>
        </is>
      </c>
    </row>
    <row r="14">
      <c r="A14" s="4" t="inlineStr">
        <is>
          <t>Other (see Other-Bucket sheet)</t>
        </is>
      </c>
      <c r="B14" s="5" t="n">
        <v>14988</v>
      </c>
      <c r="C14" s="5" t="inlineStr">
        <is>
          <t>-1%</t>
        </is>
      </c>
      <c r="D14" s="5" t="n">
        <v>14838</v>
      </c>
      <c r="E14" s="5" t="inlineStr">
        <is>
          <t>flat</t>
        </is>
      </c>
      <c r="F14" s="5" t="n">
        <v>14838</v>
      </c>
      <c r="G14" s="5" t="inlineStr">
        <is>
          <t>Net of legacy erosion vs new launches</t>
        </is>
      </c>
      <c r="H14" s="6" t="inlineStr">
        <is>
          <t>SEC - Amgen Q1 2026 8-K</t>
        </is>
      </c>
    </row>
    <row r="15">
      <c r="A15" s="7" t="inlineStr">
        <is>
          <t>TOTAL PRODUCT SALES</t>
        </is>
      </c>
      <c r="B15" s="8" t="n">
        <v>35148</v>
      </c>
      <c r="C15" s="8" t="inlineStr"/>
      <c r="D15" s="8" t="n">
        <v>35685</v>
      </c>
      <c r="E15" s="8" t="inlineStr"/>
      <c r="F15" s="8" t="n">
        <v>36768</v>
      </c>
      <c r="G15" s="8" t="inlineStr">
        <is>
          <t>Bottom-up sum</t>
        </is>
      </c>
      <c r="H15" s="9" t="inlineStr"/>
    </row>
    <row r="16">
      <c r="A16" s="7" t="inlineStr">
        <is>
          <t>+ Other revenue</t>
        </is>
      </c>
      <c r="B16" s="8" t="n">
        <v>1550</v>
      </c>
      <c r="C16" s="8" t="inlineStr"/>
      <c r="D16" s="8" t="n">
        <v>1600</v>
      </c>
      <c r="E16" s="8" t="inlineStr"/>
      <c r="F16" s="8" t="n">
        <v>1650</v>
      </c>
      <c r="G16" s="8" t="inlineStr">
        <is>
          <t>Royalties etc.</t>
        </is>
      </c>
      <c r="H16" s="9" t="inlineStr"/>
    </row>
    <row r="17">
      <c r="A17" s="7">
        <f> TOTAL REVENUE</f>
        <v/>
      </c>
      <c r="B17" s="8" t="n">
        <v>36698</v>
      </c>
      <c r="C17" s="8" t="inlineStr"/>
      <c r="D17" s="8" t="n">
        <v>37285</v>
      </c>
      <c r="E17" s="8" t="inlineStr"/>
      <c r="F17" s="8" t="n">
        <v>38418</v>
      </c>
      <c r="G17" s="8" t="inlineStr">
        <is>
          <t>vs guidance $37.0-38.4bn (2026)</t>
        </is>
      </c>
      <c r="H17" s="6" t="inlineStr">
        <is>
          <t>Seeking Alpha - Amgen 2026 guidance</t>
        </is>
      </c>
    </row>
  </sheetData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7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9" customWidth="1" min="3" max="3"/>
    <col width="10" customWidth="1" min="4" max="4"/>
    <col width="9" customWidth="1" min="5" max="5"/>
    <col width="10" customWidth="1" min="6" max="6"/>
    <col width="32" customWidth="1" min="7" max="7"/>
    <col width="30" customWidth="1" min="8" max="8"/>
  </cols>
  <sheetData>
    <row r="1">
      <c r="A1" s="1" t="inlineStr">
        <is>
          <t>Amgen - decomposition of the 'Other' bucket ($M)</t>
        </is>
      </c>
    </row>
    <row r="2">
      <c r="A2" s="2" t="inlineStr">
        <is>
          <t>Cluster dollar splits are ESTIMATES triangulated from quarterly disclosures, not exact line items.</t>
        </is>
      </c>
    </row>
    <row r="4">
      <c r="A4" s="3" t="inlineStr">
        <is>
          <t>Cluster</t>
        </is>
      </c>
      <c r="B4" s="3" t="inlineStr">
        <is>
          <t>FY2025A</t>
        </is>
      </c>
      <c r="C4" s="3" t="inlineStr">
        <is>
          <t>'26E gr.</t>
        </is>
      </c>
      <c r="D4" s="3" t="inlineStr">
        <is>
          <t>2026E</t>
        </is>
      </c>
      <c r="E4" s="3" t="inlineStr">
        <is>
          <t>'27E gr.</t>
        </is>
      </c>
      <c r="F4" s="3" t="inlineStr">
        <is>
          <t>2027E</t>
        </is>
      </c>
      <c r="G4" s="3" t="inlineStr">
        <is>
          <t>Read</t>
        </is>
      </c>
      <c r="H4" s="3" t="inlineStr">
        <is>
          <t>Source</t>
        </is>
      </c>
    </row>
    <row r="5">
      <c r="A5" s="4" t="inlineStr">
        <is>
          <t>Enbrel</t>
        </is>
      </c>
      <c r="B5" s="5" t="n">
        <v>2800</v>
      </c>
      <c r="C5" s="5" t="inlineStr">
        <is>
          <t>-10%</t>
        </is>
      </c>
      <c r="D5" s="5" t="n">
        <v>2520</v>
      </c>
      <c r="E5" s="5" t="inlineStr">
        <is>
          <t>-10%</t>
        </is>
      </c>
      <c r="F5" s="5" t="n">
        <v>2268</v>
      </c>
      <c r="G5" s="5" t="inlineStr">
        <is>
          <t>Slow secular decline, no biosimilar yet</t>
        </is>
      </c>
      <c r="H5" s="6" t="inlineStr">
        <is>
          <t>SEC - Amgen Q1 2026 8-K</t>
        </is>
      </c>
    </row>
    <row r="6">
      <c r="A6" s="4" t="inlineStr">
        <is>
          <t>Kyprolis</t>
        </is>
      </c>
      <c r="B6" s="5" t="n">
        <v>1500</v>
      </c>
      <c r="C6" s="5" t="inlineStr">
        <is>
          <t>-5%</t>
        </is>
      </c>
      <c r="D6" s="5" t="n">
        <v>1425</v>
      </c>
      <c r="E6" s="5" t="inlineStr">
        <is>
          <t>-8%</t>
        </is>
      </c>
      <c r="F6" s="5" t="n">
        <v>1311</v>
      </c>
      <c r="G6" s="5" t="inlineStr">
        <is>
          <t>Generic/competitive pressure building</t>
        </is>
      </c>
      <c r="H6" s="6" t="inlineStr">
        <is>
          <t>SEC - Amgen Q1 2026 8-K</t>
        </is>
      </c>
    </row>
    <row r="7">
      <c r="A7" s="4" t="inlineStr">
        <is>
          <t>Established (EPOGEN/Aranesp/Neulasta/Parsabiv)</t>
        </is>
      </c>
      <c r="B7" s="5" t="n">
        <v>2000</v>
      </c>
      <c r="C7" s="5" t="inlineStr">
        <is>
          <t>-10%</t>
        </is>
      </c>
      <c r="D7" s="5" t="n">
        <v>1800</v>
      </c>
      <c r="E7" s="5" t="inlineStr">
        <is>
          <t>-10%</t>
        </is>
      </c>
      <c r="F7" s="5" t="n">
        <v>1620</v>
      </c>
      <c r="G7" s="5" t="inlineStr">
        <is>
          <t>Legacy run-off</t>
        </is>
      </c>
      <c r="H7" s="6" t="inlineStr">
        <is>
          <t>SEC - Amgen Q1 2026 8-K</t>
        </is>
      </c>
    </row>
    <row r="8">
      <c r="A8" s="4" t="inlineStr">
        <is>
          <t>Mature biosimilars (Amjevita/MVASI/Kanjinti/Riabni)</t>
        </is>
      </c>
      <c r="B8" s="5" t="n">
        <v>1900</v>
      </c>
      <c r="C8" s="5" t="inlineStr">
        <is>
          <t>-8%</t>
        </is>
      </c>
      <c r="D8" s="5" t="n">
        <v>1748</v>
      </c>
      <c r="E8" s="5" t="inlineStr">
        <is>
          <t>-8%</t>
        </is>
      </c>
      <c r="F8" s="5" t="n">
        <v>1608</v>
      </c>
      <c r="G8" s="5" t="inlineStr">
        <is>
          <t>Price competition</t>
        </is>
      </c>
      <c r="H8" s="6" t="inlineStr">
        <is>
          <t>SEC - Amgen Q1 2026 8-K</t>
        </is>
      </c>
    </row>
    <row r="9">
      <c r="A9" s="4" t="inlineStr">
        <is>
          <t>Vectibix</t>
        </is>
      </c>
      <c r="B9" s="5" t="n">
        <v>1100</v>
      </c>
      <c r="C9" s="5" t="inlineStr">
        <is>
          <t>+2%</t>
        </is>
      </c>
      <c r="D9" s="5" t="n">
        <v>1122</v>
      </c>
      <c r="E9" s="5" t="inlineStr">
        <is>
          <t>+2%</t>
        </is>
      </c>
      <c r="F9" s="5" t="n">
        <v>1144</v>
      </c>
      <c r="G9" s="5" t="inlineStr">
        <is>
          <t>Stable oncology</t>
        </is>
      </c>
      <c r="H9" s="6" t="inlineStr">
        <is>
          <t>SEC - Amgen Q1 2026 8-K</t>
        </is>
      </c>
    </row>
    <row r="10">
      <c r="A10" s="4" t="inlineStr">
        <is>
          <t>Nplate</t>
        </is>
      </c>
      <c r="B10" s="5" t="n">
        <v>1450</v>
      </c>
      <c r="C10" s="5" t="inlineStr">
        <is>
          <t>+5%</t>
        </is>
      </c>
      <c r="D10" s="5" t="n">
        <v>1523</v>
      </c>
      <c r="E10" s="5" t="inlineStr">
        <is>
          <t>+4%</t>
        </is>
      </c>
      <c r="F10" s="5" t="n">
        <v>1584</v>
      </c>
      <c r="G10" s="5" t="inlineStr">
        <is>
          <t>Steady grower</t>
        </is>
      </c>
      <c r="H10" s="6" t="inlineStr">
        <is>
          <t>SEC - Amgen Q1 2026 8-K</t>
        </is>
      </c>
    </row>
    <row r="11">
      <c r="A11" s="4" t="inlineStr">
        <is>
          <t>Newer launches (IMDELLTRA/UPLIZNA/LUMAKRAS/TAVNEOS/Aimovig/Pavblu/Wezlana)</t>
        </is>
      </c>
      <c r="B11" s="5" t="n">
        <v>2700</v>
      </c>
      <c r="C11" s="5" t="inlineStr">
        <is>
          <t>+28%</t>
        </is>
      </c>
      <c r="D11" s="5" t="n">
        <v>3456</v>
      </c>
      <c r="E11" s="5" t="inlineStr">
        <is>
          <t>+24%</t>
        </is>
      </c>
      <c r="F11" s="5" t="n">
        <v>4285</v>
      </c>
      <c r="G11" s="5" t="inlineStr">
        <is>
          <t>The engine - ramping hard</t>
        </is>
      </c>
      <c r="H11" s="6" t="inlineStr">
        <is>
          <t>SEC - Amgen Q1 2026 8-K</t>
        </is>
      </c>
    </row>
    <row r="12">
      <c r="A12" s="4" t="inlineStr">
        <is>
          <t>Residual / smaller products</t>
        </is>
      </c>
      <c r="B12" s="5" t="n">
        <v>1538</v>
      </c>
      <c r="C12" s="5" t="inlineStr">
        <is>
          <t>0%</t>
        </is>
      </c>
      <c r="D12" s="5" t="n">
        <v>1538</v>
      </c>
      <c r="E12" s="5" t="inlineStr">
        <is>
          <t>0%</t>
        </is>
      </c>
      <c r="F12" s="5" t="n">
        <v>1538</v>
      </c>
      <c r="G12" s="5" t="inlineStr">
        <is>
          <t>Catch-all</t>
        </is>
      </c>
      <c r="H12" s="9" t="inlineStr"/>
    </row>
    <row r="13">
      <c r="A13" s="7" t="inlineStr">
        <is>
          <t>'OTHER' TOTAL</t>
        </is>
      </c>
      <c r="B13" s="8" t="n">
        <v>14988</v>
      </c>
      <c r="C13" s="8" t="inlineStr">
        <is>
          <t>+0.9%</t>
        </is>
      </c>
      <c r="D13" s="8" t="n">
        <v>15130</v>
      </c>
      <c r="E13" s="8" t="inlineStr">
        <is>
          <t>+1.5%</t>
        </is>
      </c>
      <c r="F13" s="8" t="n">
        <v>15358</v>
      </c>
      <c r="G13" s="8" t="inlineStr">
        <is>
          <t>Confirms ~flat assumption</t>
        </is>
      </c>
      <c r="H13" s="9" t="inlineStr"/>
    </row>
  </sheetData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38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Amgen - unlevered FCFF DCF</t>
        </is>
      </c>
    </row>
    <row r="2">
      <c r="A2" s="2" t="inlineStr">
        <is>
          <t>Anchored to FY2025 actuals; FCFF figures are analyst estimates (E). WACC rounded up to 7.5% to haircut leverage/pipeline risk.</t>
        </is>
      </c>
    </row>
    <row r="4">
      <c r="A4" s="3" t="inlineStr">
        <is>
          <t>INPUT</t>
        </is>
      </c>
      <c r="B4" s="3" t="inlineStr">
        <is>
          <t>VALUE</t>
        </is>
      </c>
      <c r="C4" s="3" t="inlineStr"/>
    </row>
    <row r="5">
      <c r="A5" s="9" t="inlineStr">
        <is>
          <t>Total revenue FY2025 ($bn)</t>
        </is>
      </c>
      <c r="B5" s="9" t="n">
        <v>36.8</v>
      </c>
      <c r="C5" s="6" t="inlineStr">
        <is>
          <t>SEC - Amgen FY2025 8-K (margin/tax)</t>
        </is>
      </c>
    </row>
    <row r="6">
      <c r="A6" s="9" t="inlineStr">
        <is>
          <t>Non-GAAP operating income ($bn)</t>
        </is>
      </c>
      <c r="B6" s="9" t="n">
        <v>16.2</v>
      </c>
      <c r="C6" s="6" t="inlineStr">
        <is>
          <t>SEC - Amgen FY2025 8-K (margin/tax)</t>
        </is>
      </c>
    </row>
    <row r="7">
      <c r="A7" s="9" t="inlineStr">
        <is>
          <t>Non-GAAP operating margin</t>
        </is>
      </c>
      <c r="B7" s="9" t="inlineStr">
        <is>
          <t>46.1%</t>
        </is>
      </c>
      <c r="C7" s="6" t="inlineStr">
        <is>
          <t>SEC - Amgen FY2025 8-K (margin/tax)</t>
        </is>
      </c>
    </row>
    <row r="8">
      <c r="A8" s="9" t="inlineStr">
        <is>
          <t>Effective tax rate</t>
        </is>
      </c>
      <c r="B8" s="9" t="inlineStr">
        <is>
          <t>18%</t>
        </is>
      </c>
      <c r="C8" s="6" t="inlineStr">
        <is>
          <t>SEC - Amgen FY2025 8-K (margin/tax)</t>
        </is>
      </c>
    </row>
    <row r="9">
      <c r="A9" s="9" t="inlineStr">
        <is>
          <t>Net debt ($bn)</t>
        </is>
      </c>
      <c r="B9" s="9" t="n">
        <v>46.3</v>
      </c>
      <c r="C9" s="6" t="inlineStr">
        <is>
          <t>stockanalysis.com - AMGN statistics</t>
        </is>
      </c>
    </row>
    <row r="10">
      <c r="A10" s="9" t="inlineStr">
        <is>
          <t>Shares outstanding (m)</t>
        </is>
      </c>
      <c r="B10" s="9" t="n">
        <v>539.7</v>
      </c>
      <c r="C10" s="6" t="inlineStr">
        <is>
          <t>stockanalysis.com - AMGN statistics</t>
        </is>
      </c>
    </row>
    <row r="11">
      <c r="A11" s="9" t="inlineStr">
        <is>
          <t>Cost of equity (Rf 4.3% + B0.6 x ERP 5%)</t>
        </is>
      </c>
      <c r="B11" s="9" t="inlineStr">
        <is>
          <t>7.3%</t>
        </is>
      </c>
      <c r="C11" s="9" t="inlineStr"/>
    </row>
    <row r="12">
      <c r="A12" s="9" t="inlineStr">
        <is>
          <t>After-tax cost of debt (5% x (1-18%))</t>
        </is>
      </c>
      <c r="B12" s="9" t="inlineStr">
        <is>
          <t>4.1%</t>
        </is>
      </c>
      <c r="C12" s="9" t="inlineStr"/>
    </row>
    <row r="13">
      <c r="A13" s="9" t="inlineStr">
        <is>
          <t>WACC used</t>
        </is>
      </c>
      <c r="B13" s="9" t="inlineStr">
        <is>
          <t>7.5%</t>
        </is>
      </c>
      <c r="C13" s="9" t="inlineStr"/>
    </row>
    <row r="14">
      <c r="A14" s="9" t="inlineStr">
        <is>
          <t>Terminal growth (g)</t>
        </is>
      </c>
      <c r="B14" s="9" t="inlineStr">
        <is>
          <t>2.5%</t>
        </is>
      </c>
      <c r="C14" s="9" t="inlineStr"/>
    </row>
    <row r="16">
      <c r="A16" s="10" t="inlineStr">
        <is>
          <t>FCFF PROJECTION &amp; DISCOUNTING ($bn)</t>
        </is>
      </c>
    </row>
    <row r="17">
      <c r="A17" s="3" t="inlineStr">
        <is>
          <t>Line</t>
        </is>
      </c>
      <c r="B17" s="3" t="inlineStr">
        <is>
          <t>2026E</t>
        </is>
      </c>
      <c r="C17" s="3" t="inlineStr">
        <is>
          <t>2027E</t>
        </is>
      </c>
      <c r="D17" s="3" t="inlineStr">
        <is>
          <t>2028E</t>
        </is>
      </c>
      <c r="E17" s="3" t="inlineStr">
        <is>
          <t>2029E</t>
        </is>
      </c>
      <c r="F17" s="3" t="inlineStr">
        <is>
          <t>2030E</t>
        </is>
      </c>
    </row>
    <row r="18">
      <c r="A18" s="4" t="inlineStr">
        <is>
          <t>Unlevered FCFF</t>
        </is>
      </c>
      <c r="B18" s="5" t="n">
        <v>11.5</v>
      </c>
      <c r="C18" s="5" t="n">
        <v>12.1</v>
      </c>
      <c r="D18" s="5" t="n">
        <v>12.8</v>
      </c>
      <c r="E18" s="5" t="n">
        <v>13.6</v>
      </c>
      <c r="F18" s="5" t="n">
        <v>14.3</v>
      </c>
    </row>
    <row r="19">
      <c r="A19" s="4" t="inlineStr">
        <is>
          <t>Discount factor @7.5%</t>
        </is>
      </c>
      <c r="B19" s="5" t="n">
        <v>0.93</v>
      </c>
      <c r="C19" s="5" t="n">
        <v>0.865</v>
      </c>
      <c r="D19" s="5" t="n">
        <v>0.805</v>
      </c>
      <c r="E19" s="5" t="n">
        <v>0.749</v>
      </c>
      <c r="F19" s="5" t="n">
        <v>0.697</v>
      </c>
    </row>
    <row r="20">
      <c r="A20" s="4" t="inlineStr">
        <is>
          <t>PV of FCFF</t>
        </is>
      </c>
      <c r="B20" s="5" t="n">
        <v>10.7</v>
      </c>
      <c r="C20" s="5" t="n">
        <v>10.5</v>
      </c>
      <c r="D20" s="5" t="n">
        <v>10.3</v>
      </c>
      <c r="E20" s="5" t="n">
        <v>10.2</v>
      </c>
      <c r="F20" s="5" t="n">
        <v>10</v>
      </c>
    </row>
    <row r="22">
      <c r="A22" s="11" t="inlineStr">
        <is>
          <t>Sum PV of explicit FCFF ($bn)</t>
        </is>
      </c>
      <c r="B22" s="9" t="n">
        <v>51.6</v>
      </c>
    </row>
    <row r="23">
      <c r="A23" s="11" t="inlineStr">
        <is>
          <t>Terminal value at 2030 ($bn)</t>
        </is>
      </c>
      <c r="B23" s="9" t="n">
        <v>293</v>
      </c>
    </row>
    <row r="24">
      <c r="A24" s="11" t="inlineStr">
        <is>
          <t>PV of terminal value ($bn)</t>
        </is>
      </c>
      <c r="B24" s="9" t="n">
        <v>204</v>
      </c>
    </row>
    <row r="25">
      <c r="A25" s="11" t="inlineStr">
        <is>
          <t>Enterprise value ($bn)</t>
        </is>
      </c>
      <c r="B25" s="9" t="n">
        <v>256</v>
      </c>
    </row>
    <row r="26">
      <c r="A26" s="11" t="inlineStr">
        <is>
          <t>Less: net debt ($bn)</t>
        </is>
      </c>
      <c r="B26" s="9" t="n">
        <v>-46.3</v>
      </c>
    </row>
    <row r="27">
      <c r="A27" s="11" t="inlineStr">
        <is>
          <t>Equity value ($bn)</t>
        </is>
      </c>
      <c r="B27" s="9" t="n">
        <v>210</v>
      </c>
    </row>
    <row r="28">
      <c r="A28" s="11" t="inlineStr">
        <is>
          <t>Implied value per share ($)</t>
        </is>
      </c>
      <c r="B28" s="12" t="n">
        <v>388</v>
      </c>
    </row>
  </sheetData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Amgen DCF - implied $/share sensitivity</t>
        </is>
      </c>
    </row>
    <row r="2">
      <c r="A2" s="2" t="inlineStr">
        <is>
          <t>Rows = WACC, columns = terminal growth (g). Base case shaded conceptually = 7.5% / 2.5% = $388.</t>
        </is>
      </c>
    </row>
    <row r="4">
      <c r="A4" s="3" t="inlineStr">
        <is>
          <t>WACC \ g</t>
        </is>
      </c>
      <c r="B4" s="3" t="inlineStr">
        <is>
          <t>2.0%</t>
        </is>
      </c>
      <c r="C4" s="3" t="inlineStr">
        <is>
          <t>2.5%</t>
        </is>
      </c>
      <c r="D4" s="3" t="inlineStr">
        <is>
          <t>3.0%</t>
        </is>
      </c>
      <c r="E4" s="3" t="inlineStr">
        <is>
          <t>Source</t>
        </is>
      </c>
    </row>
    <row r="5">
      <c r="A5" s="4" t="inlineStr">
        <is>
          <t>7.0%</t>
        </is>
      </c>
      <c r="B5" s="5" t="n">
        <v>396</v>
      </c>
      <c r="C5" s="5" t="n">
        <v>442</v>
      </c>
      <c r="D5" s="5" t="n">
        <v>498</v>
      </c>
      <c r="E5" s="9" t="inlineStr"/>
    </row>
    <row r="6">
      <c r="A6" s="4" t="inlineStr">
        <is>
          <t>7.5%</t>
        </is>
      </c>
      <c r="B6" s="5" t="n">
        <v>352</v>
      </c>
      <c r="C6" s="5" t="n">
        <v>388</v>
      </c>
      <c r="D6" s="5" t="n">
        <v>432</v>
      </c>
      <c r="E6" s="9" t="inlineStr"/>
    </row>
    <row r="7">
      <c r="A7" s="4" t="inlineStr">
        <is>
          <t>8.0%</t>
        </is>
      </c>
      <c r="B7" s="5" t="n">
        <v>315</v>
      </c>
      <c r="C7" s="5" t="n">
        <v>345</v>
      </c>
      <c r="D7" s="5" t="n">
        <v>380</v>
      </c>
      <c r="E7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  <col width="14" customWidth="1" min="4" max="4"/>
    <col width="10" customWidth="1" min="5" max="5"/>
    <col width="34" customWidth="1" min="6" max="6"/>
  </cols>
  <sheetData>
    <row r="1">
      <c r="A1" s="1" t="inlineStr">
        <is>
          <t>Amgen - P/E valuation scenarios</t>
        </is>
      </c>
    </row>
    <row r="2">
      <c r="A2" s="2" t="inlineStr">
        <is>
          <t>Cross-checks the DCF. EPS within / around FY2026 non-GAAP guide of $21.60-23.00.</t>
        </is>
      </c>
    </row>
    <row r="4">
      <c r="A4" s="3" t="inlineStr">
        <is>
          <t>Scenario</t>
        </is>
      </c>
      <c r="B4" s="3" t="inlineStr">
        <is>
          <t>EPS used</t>
        </is>
      </c>
      <c r="C4" s="3" t="inlineStr">
        <is>
          <t>Multiple</t>
        </is>
      </c>
      <c r="D4" s="3" t="inlineStr">
        <is>
          <t>Implied price</t>
        </is>
      </c>
      <c r="E4" s="3" t="inlineStr">
        <is>
          <t>vs ~$326</t>
        </is>
      </c>
      <c r="F4" s="3" t="inlineStr">
        <is>
          <t>Source</t>
        </is>
      </c>
    </row>
    <row r="5">
      <c r="A5" s="4" t="inlineStr">
        <is>
          <t>Bear (MariTide miss, tax loss)</t>
        </is>
      </c>
      <c r="B5" s="5" t="inlineStr">
        <is>
          <t>$21.00</t>
        </is>
      </c>
      <c r="C5" s="5" t="inlineStr">
        <is>
          <t>12x</t>
        </is>
      </c>
      <c r="D5" s="5" t="inlineStr">
        <is>
          <t>$252</t>
        </is>
      </c>
      <c r="E5" s="5" t="inlineStr">
        <is>
          <t>-23%</t>
        </is>
      </c>
      <c r="F5" s="6" t="inlineStr">
        <is>
          <t>Seeking Alpha - Amgen 2026 guidance</t>
        </is>
      </c>
    </row>
    <row r="6">
      <c r="A6" s="4" t="inlineStr">
        <is>
          <t>Base</t>
        </is>
      </c>
      <c r="B6" s="5" t="inlineStr">
        <is>
          <t>$22.50</t>
        </is>
      </c>
      <c r="C6" s="5" t="inlineStr">
        <is>
          <t>16x</t>
        </is>
      </c>
      <c r="D6" s="5" t="inlineStr">
        <is>
          <t>$360-365</t>
        </is>
      </c>
      <c r="E6" s="5" t="inlineStr">
        <is>
          <t>+11%</t>
        </is>
      </c>
      <c r="F6" s="6" t="inlineStr">
        <is>
          <t>Seeking Alpha - Amgen 2026 guidance</t>
        </is>
      </c>
    </row>
    <row r="7">
      <c r="A7" s="4" t="inlineStr">
        <is>
          <t>Bull (obesity works)</t>
        </is>
      </c>
      <c r="B7" s="5" t="inlineStr">
        <is>
          <t>$23.50</t>
        </is>
      </c>
      <c r="C7" s="5" t="inlineStr">
        <is>
          <t>18x</t>
        </is>
      </c>
      <c r="D7" s="5" t="inlineStr">
        <is>
          <t>$423</t>
        </is>
      </c>
      <c r="E7" s="5" t="inlineStr">
        <is>
          <t>+30%</t>
        </is>
      </c>
      <c r="F7" s="6" t="inlineStr">
        <is>
          <t>Seeking Alpha - Amgen 2026 guidance</t>
        </is>
      </c>
    </row>
  </sheetData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22" customWidth="1" min="3" max="3"/>
    <col width="11" customWidth="1" min="4" max="4"/>
    <col width="11" customWidth="1" min="5" max="5"/>
    <col width="7" customWidth="1" min="6" max="6"/>
    <col width="12" customWidth="1" min="7" max="7"/>
    <col width="11" customWidth="1" min="8" max="8"/>
    <col width="32" customWidth="1" min="9" max="9"/>
  </cols>
  <sheetData>
    <row r="1">
      <c r="A1" s="1" t="inlineStr">
        <is>
          <t>Amgen - risk-adjusted pipeline ($bn peak sales)</t>
        </is>
      </c>
    </row>
    <row r="2">
      <c r="A2" s="2" t="inlineStr">
        <is>
          <t>PoS and peak-sales are analyst estimates. MariTide peak range: Evaluate ~$3.7bn to UBS $10bn+.</t>
        </is>
      </c>
    </row>
    <row r="4">
      <c r="A4" s="3" t="inlineStr">
        <is>
          <t>Asset</t>
        </is>
      </c>
      <c r="B4" s="3" t="inlineStr">
        <is>
          <t>Mechanism / indication</t>
        </is>
      </c>
      <c r="C4" s="3" t="inlineStr">
        <is>
          <t>Status</t>
        </is>
      </c>
      <c r="D4" s="3" t="inlineStr">
        <is>
          <t>Est. launch</t>
        </is>
      </c>
      <c r="E4" s="3" t="inlineStr">
        <is>
          <t>Unadj. peak</t>
        </is>
      </c>
      <c r="F4" s="3" t="inlineStr">
        <is>
          <t>PoS</t>
        </is>
      </c>
      <c r="G4" s="3" t="inlineStr">
        <is>
          <t>Risk-adj. peak</t>
        </is>
      </c>
      <c r="H4" s="3" t="inlineStr">
        <is>
          <t>In base?</t>
        </is>
      </c>
      <c r="I4" s="3" t="inlineStr">
        <is>
          <t>Source</t>
        </is>
      </c>
    </row>
    <row r="5">
      <c r="A5" s="4" t="inlineStr">
        <is>
          <t>MariTide</t>
        </is>
      </c>
      <c r="B5" s="5" t="inlineStr">
        <is>
          <t>GLP-1 agonist / GIPR antagonist, monthly dosing - obesity (+CV/HF/OSA)</t>
        </is>
      </c>
      <c r="C5" s="5" t="inlineStr">
        <is>
          <t>Ph3 (6 MARITIME studies)</t>
        </is>
      </c>
      <c r="D5" s="5" t="inlineStr">
        <is>
          <t>~2027-28</t>
        </is>
      </c>
      <c r="E5" s="5" t="n">
        <v>6</v>
      </c>
      <c r="F5" s="5" t="inlineStr">
        <is>
          <t>60%</t>
        </is>
      </c>
      <c r="G5" s="5" t="n">
        <v>3.6</v>
      </c>
      <c r="H5" s="5" t="inlineStr">
        <is>
          <t>No - upside</t>
        </is>
      </c>
      <c r="I5" s="6" t="inlineStr">
        <is>
          <t>Amgen - MariTide Phase 2 weight loss</t>
        </is>
      </c>
    </row>
    <row r="6">
      <c r="A6" s="4" t="inlineStr">
        <is>
          <t>Olpasiran</t>
        </is>
      </c>
      <c r="B6" s="5" t="inlineStr">
        <is>
          <t>Lp(a) siRNA - CV risk</t>
        </is>
      </c>
      <c r="C6" s="5" t="inlineStr">
        <is>
          <t>Ph3 OCEAN(a)</t>
        </is>
      </c>
      <c r="D6" s="5" t="inlineStr">
        <is>
          <t>~2027-28</t>
        </is>
      </c>
      <c r="E6" s="5" t="n">
        <v>2.5</v>
      </c>
      <c r="F6" s="5" t="inlineStr">
        <is>
          <t>50%</t>
        </is>
      </c>
      <c r="G6" s="5" t="n">
        <v>1.25</v>
      </c>
      <c r="H6" s="5" t="inlineStr">
        <is>
          <t>No - upside</t>
        </is>
      </c>
      <c r="I6" s="6" t="inlineStr">
        <is>
          <t>Labiotech - Amgen pipeline strategy 2026</t>
        </is>
      </c>
    </row>
    <row r="7">
      <c r="A7" s="4" t="inlineStr">
        <is>
          <t>Bemarituzumab</t>
        </is>
      </c>
      <c r="B7" s="5" t="inlineStr">
        <is>
          <t>First-in-class FGFR2b mAb - gastric cancer</t>
        </is>
      </c>
      <c r="C7" s="5" t="inlineStr">
        <is>
          <t>Ph3</t>
        </is>
      </c>
      <c r="D7" s="5" t="inlineStr">
        <is>
          <t>~2027</t>
        </is>
      </c>
      <c r="E7" s="5" t="n">
        <v>1.5</v>
      </c>
      <c r="F7" s="5" t="inlineStr">
        <is>
          <t>55%</t>
        </is>
      </c>
      <c r="G7" s="5" t="n">
        <v>0.8</v>
      </c>
      <c r="H7" s="5" t="inlineStr">
        <is>
          <t>No - upside</t>
        </is>
      </c>
      <c r="I7" s="6" t="inlineStr">
        <is>
          <t>Labiotech - Amgen pipeline strategy 2026</t>
        </is>
      </c>
    </row>
    <row r="8">
      <c r="A8" s="4" t="inlineStr">
        <is>
          <t>IMDELLTRA</t>
        </is>
      </c>
      <c r="B8" s="5" t="inlineStr">
        <is>
          <t>DLL3 BiTE - small-cell lung (2L approved, 1L ongoing)</t>
        </is>
      </c>
      <c r="C8" s="5" t="inlineStr">
        <is>
          <t>Approved + expansion</t>
        </is>
      </c>
      <c r="D8" s="5" t="inlineStr">
        <is>
          <t>launched</t>
        </is>
      </c>
      <c r="E8" s="5" t="n">
        <v>3</v>
      </c>
      <c r="F8" s="5" t="inlineStr">
        <is>
          <t>80%</t>
        </is>
      </c>
      <c r="G8" s="5" t="n">
        <v>2.4</v>
      </c>
      <c r="H8" s="5" t="inlineStr">
        <is>
          <t>Partly</t>
        </is>
      </c>
      <c r="I8" s="6" t="inlineStr">
        <is>
          <t>Labiotech - Amgen pipeline strategy 2026</t>
        </is>
      </c>
    </row>
    <row r="9">
      <c r="A9" s="4" t="inlineStr">
        <is>
          <t>UPLIZNA</t>
        </is>
      </c>
      <c r="B9" s="5" t="inlineStr">
        <is>
          <t>anti-CD19 - new IgG4-RD &amp; gMG approvals</t>
        </is>
      </c>
      <c r="C9" s="5" t="inlineStr">
        <is>
          <t>Approved/expanding</t>
        </is>
      </c>
      <c r="D9" s="5" t="inlineStr">
        <is>
          <t>launched</t>
        </is>
      </c>
      <c r="E9" s="5" t="n">
        <v>2</v>
      </c>
      <c r="F9" s="5" t="inlineStr">
        <is>
          <t>85%</t>
        </is>
      </c>
      <c r="G9" s="5" t="n">
        <v>1.7</v>
      </c>
      <c r="H9" s="5" t="inlineStr">
        <is>
          <t>Partly</t>
        </is>
      </c>
      <c r="I9" s="6" t="inlineStr">
        <is>
          <t>Labiotech - Amgen pipeline strategy 2026</t>
        </is>
      </c>
    </row>
    <row r="10">
      <c r="A10" s="4" t="inlineStr">
        <is>
          <t>Repatha primary-prevention</t>
        </is>
      </c>
      <c r="B10" s="5" t="inlineStr">
        <is>
          <t>PCSK9 - VESALIUS-CV positive</t>
        </is>
      </c>
      <c r="C10" s="5" t="inlineStr">
        <is>
          <t>Label expansion</t>
        </is>
      </c>
      <c r="D10" s="5" t="inlineStr">
        <is>
          <t>2026-27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  <c r="H10" s="5" t="inlineStr">
        <is>
          <t>Yes</t>
        </is>
      </c>
      <c r="I10" s="6" t="inlineStr">
        <is>
          <t>SEC - Amgen Q1 2026 8-K</t>
        </is>
      </c>
    </row>
    <row r="11">
      <c r="A11" s="4" t="inlineStr">
        <is>
          <t>MariTide peak-sales range (external)</t>
        </is>
      </c>
      <c r="B11" s="5" t="inlineStr">
        <is>
          <t>Evaluate $3.7bn (low) to UBS $10bn+ (high)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  <c r="H11" s="5" t="inlineStr">
        <is>
          <t>-</t>
        </is>
      </c>
      <c r="I11" s="6" t="inlineStr">
        <is>
          <t>FiercePharma/Evaluate - obesity peak sales</t>
        </is>
      </c>
    </row>
  </sheetData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3" customWidth="1" min="3" max="3"/>
    <col width="9" customWidth="1" min="4" max="4"/>
    <col width="9" customWidth="1" min="5" max="5"/>
    <col width="9" customWidth="1" min="6" max="6"/>
    <col width="9" customWidth="1" min="7" max="7"/>
    <col width="32" customWidth="1" min="8" max="8"/>
    <col width="30" customWidth="1" min="9" max="9"/>
  </cols>
  <sheetData>
    <row r="1">
      <c r="A1" s="1" t="inlineStr">
        <is>
          <t>Danaher - segment revenue build ($bn)</t>
        </is>
      </c>
    </row>
    <row r="2">
      <c r="A2" s="2" t="inlineStr">
        <is>
          <t>FY2025 actuals + margins per source. 2026E/2027E and Masimo phasing are analyst estimates (E).</t>
        </is>
      </c>
    </row>
    <row r="4">
      <c r="A4" s="3" t="inlineStr">
        <is>
          <t>Segment</t>
        </is>
      </c>
      <c r="B4" s="3" t="inlineStr">
        <is>
          <t>FY2025 rev</t>
        </is>
      </c>
      <c r="C4" s="3" t="inlineStr">
        <is>
          <t>Adj op margin</t>
        </is>
      </c>
      <c r="D4" s="3" t="inlineStr">
        <is>
          <t>'26E gr.</t>
        </is>
      </c>
      <c r="E4" s="3" t="inlineStr">
        <is>
          <t>2026E</t>
        </is>
      </c>
      <c r="F4" s="3" t="inlineStr">
        <is>
          <t>'27E gr.</t>
        </is>
      </c>
      <c r="G4" s="3" t="inlineStr">
        <is>
          <t>2027E</t>
        </is>
      </c>
      <c r="H4" s="3" t="inlineStr">
        <is>
          <t>Driver</t>
        </is>
      </c>
      <c r="I4" s="3" t="inlineStr">
        <is>
          <t>Source</t>
        </is>
      </c>
    </row>
    <row r="5">
      <c r="A5" s="4" t="inlineStr">
        <is>
          <t>Biotechnology (bioprocessing)</t>
        </is>
      </c>
      <c r="B5" s="5" t="n">
        <v>7.3</v>
      </c>
      <c r="C5" s="5" t="inlineStr">
        <is>
          <t>~38%</t>
        </is>
      </c>
      <c r="D5" s="5" t="inlineStr">
        <is>
          <t>+6%</t>
        </is>
      </c>
      <c r="E5" s="5" t="n">
        <v>7.74</v>
      </c>
      <c r="F5" s="5" t="inlineStr">
        <is>
          <t>+8%</t>
        </is>
      </c>
      <c r="G5" s="5" t="n">
        <v>8.359999999999999</v>
      </c>
      <c r="H5" s="5" t="inlineStr">
        <is>
          <t>Orders +30% - recovery engine</t>
        </is>
      </c>
      <c r="I5" s="6" t="inlineStr">
        <is>
          <t>Investing.com - Danaher Q4 2025 segments</t>
        </is>
      </c>
    </row>
    <row r="6">
      <c r="A6" s="4" t="inlineStr">
        <is>
          <t>Diagnostics (Cepheid, Beckman)</t>
        </is>
      </c>
      <c r="B6" s="5" t="n">
        <v>10</v>
      </c>
      <c r="C6" s="5" t="inlineStr">
        <is>
          <t>~31%</t>
        </is>
      </c>
      <c r="D6" s="5" t="inlineStr">
        <is>
          <t>+4%</t>
        </is>
      </c>
      <c r="E6" s="5" t="n">
        <v>10.4</v>
      </c>
      <c r="F6" s="5" t="inlineStr">
        <is>
          <t>+4%</t>
        </is>
      </c>
      <c r="G6" s="5" t="n">
        <v>10.82</v>
      </c>
      <c r="H6" s="5" t="inlineStr">
        <is>
          <t>Cepheid respiratory; China headwind</t>
        </is>
      </c>
      <c r="I6" s="6" t="inlineStr">
        <is>
          <t>Investing.com - Danaher Q4 2025 segments</t>
        </is>
      </c>
    </row>
    <row r="7">
      <c r="A7" s="4" t="inlineStr">
        <is>
          <t>Life Sciences (instruments/tools)</t>
        </is>
      </c>
      <c r="B7" s="5" t="n">
        <v>7.3</v>
      </c>
      <c r="C7" s="5" t="inlineStr">
        <is>
          <t>~21%</t>
        </is>
      </c>
      <c r="D7" s="5" t="inlineStr">
        <is>
          <t>+2%</t>
        </is>
      </c>
      <c r="E7" s="5" t="n">
        <v>7.45</v>
      </c>
      <c r="F7" s="5" t="inlineStr">
        <is>
          <t>+3%</t>
        </is>
      </c>
      <c r="G7" s="5" t="n">
        <v>7.67</v>
      </c>
      <c r="H7" s="5" t="inlineStr">
        <is>
          <t>Sluggish academic/biotech capex</t>
        </is>
      </c>
      <c r="I7" s="6" t="inlineStr">
        <is>
          <t>Investing.com - Danaher Q4 2025 segments</t>
        </is>
      </c>
    </row>
    <row r="8">
      <c r="A8" s="7" t="inlineStr">
        <is>
          <t>ORGANIC TOTAL</t>
        </is>
      </c>
      <c r="B8" s="8" t="n">
        <v>24.6</v>
      </c>
      <c r="C8" s="8" t="inlineStr">
        <is>
          <t>~28%</t>
        </is>
      </c>
      <c r="D8" s="8" t="inlineStr">
        <is>
          <t>+4%</t>
        </is>
      </c>
      <c r="E8" s="8" t="n">
        <v>25.6</v>
      </c>
      <c r="F8" s="8" t="inlineStr">
        <is>
          <t>+5%</t>
        </is>
      </c>
      <c r="G8" s="8" t="n">
        <v>26.9</v>
      </c>
      <c r="H8" s="8" t="inlineStr">
        <is>
          <t>In line with 3-6% core guide</t>
        </is>
      </c>
      <c r="I8" s="6" t="inlineStr">
        <is>
          <t>StockTitan - Danaher 2025 overview</t>
        </is>
      </c>
    </row>
    <row r="9">
      <c r="A9" s="4" t="inlineStr">
        <is>
          <t>+ Masimo (patient monitoring)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5" t="n">
        <v>1</v>
      </c>
      <c r="F9" s="5" t="inlineStr">
        <is>
          <t>-</t>
        </is>
      </c>
      <c r="G9" s="5" t="n">
        <v>2.2</v>
      </c>
      <c r="H9" s="5" t="inlineStr">
        <is>
          <t>Closes 2H26, accretive yr 1</t>
        </is>
      </c>
      <c r="I9" s="6" t="inlineStr">
        <is>
          <t>TIKR - Danaher forecast/valuation</t>
        </is>
      </c>
    </row>
    <row r="10">
      <c r="A10" s="7" t="inlineStr">
        <is>
          <t>TOTAL REVENUE</t>
        </is>
      </c>
      <c r="B10" s="8" t="n">
        <v>24.6</v>
      </c>
      <c r="C10" s="8" t="inlineStr"/>
      <c r="D10" s="8" t="inlineStr"/>
      <c r="E10" s="8" t="n">
        <v>26.6</v>
      </c>
      <c r="F10" s="8" t="inlineStr"/>
      <c r="G10" s="8" t="n">
        <v>29</v>
      </c>
      <c r="H10" s="8" t="inlineStr"/>
      <c r="I10" s="9" t="inlineStr"/>
    </row>
  </sheetData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4" customWidth="1" min="4" max="4"/>
    <col width="10" customWidth="1" min="5" max="5"/>
    <col width="30" customWidth="1" min="6" max="6"/>
  </cols>
  <sheetData>
    <row r="1">
      <c r="A1" s="1" t="inlineStr">
        <is>
          <t>Danaher - P/E valuation scenarios</t>
        </is>
      </c>
    </row>
    <row r="2">
      <c r="A2" s="2" t="inlineStr">
        <is>
          <t>FY2026 adj EPS guide $8.35-8.55; 2027E ~$9.30 is analyst estimate.</t>
        </is>
      </c>
    </row>
    <row r="4">
      <c r="A4" s="3" t="inlineStr">
        <is>
          <t>Scenario</t>
        </is>
      </c>
      <c r="B4" s="3" t="inlineStr">
        <is>
          <t>EPS used</t>
        </is>
      </c>
      <c r="C4" s="3" t="inlineStr">
        <is>
          <t>Multiple</t>
        </is>
      </c>
      <c r="D4" s="3" t="inlineStr">
        <is>
          <t>Implied price</t>
        </is>
      </c>
      <c r="E4" s="3" t="inlineStr">
        <is>
          <t>vs ~$190</t>
        </is>
      </c>
      <c r="F4" s="3" t="inlineStr">
        <is>
          <t>Source</t>
        </is>
      </c>
    </row>
    <row r="5">
      <c r="A5" s="4" t="inlineStr">
        <is>
          <t>Bear (recovery stalls)</t>
        </is>
      </c>
      <c r="B5" s="5" t="inlineStr">
        <is>
          <t>2026E $8.45</t>
        </is>
      </c>
      <c r="C5" s="5" t="inlineStr">
        <is>
          <t>20x</t>
        </is>
      </c>
      <c r="D5" s="5" t="inlineStr">
        <is>
          <t>$169</t>
        </is>
      </c>
      <c r="E5" s="5" t="inlineStr">
        <is>
          <t>-11%</t>
        </is>
      </c>
      <c r="F5" s="6" t="inlineStr">
        <is>
          <t>TIKR - Danaher forecast/valuation</t>
        </is>
      </c>
    </row>
    <row r="6">
      <c r="A6" s="4" t="inlineStr">
        <is>
          <t>Base</t>
        </is>
      </c>
      <c r="B6" s="5" t="inlineStr">
        <is>
          <t>2027E ~$9.30</t>
        </is>
      </c>
      <c r="C6" s="5" t="inlineStr">
        <is>
          <t>24x</t>
        </is>
      </c>
      <c r="D6" s="5" t="inlineStr">
        <is>
          <t>$223</t>
        </is>
      </c>
      <c r="E6" s="5" t="inlineStr">
        <is>
          <t>+17%</t>
        </is>
      </c>
      <c r="F6" s="6" t="inlineStr">
        <is>
          <t>TIKR - Danaher forecast/valuation</t>
        </is>
      </c>
    </row>
    <row r="7">
      <c r="A7" s="4" t="inlineStr">
        <is>
          <t>Bull (full upcycle)</t>
        </is>
      </c>
      <c r="B7" s="5" t="inlineStr">
        <is>
          <t>2027E ~$9.60</t>
        </is>
      </c>
      <c r="C7" s="5" t="inlineStr">
        <is>
          <t>28x</t>
        </is>
      </c>
      <c r="D7" s="5" t="inlineStr">
        <is>
          <t>$269</t>
        </is>
      </c>
      <c r="E7" s="5" t="inlineStr">
        <is>
          <t>+42%</t>
        </is>
      </c>
      <c r="F7" s="6" t="inlineStr">
        <is>
          <t>TIKR - Danaher forecast/valuation</t>
        </is>
      </c>
    </row>
  </sheetData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9" customWidth="1" min="3" max="3"/>
    <col width="10" customWidth="1" min="4" max="4"/>
    <col width="9" customWidth="1" min="5" max="5"/>
    <col width="10" customWidth="1" min="6" max="6"/>
    <col width="36" customWidth="1" min="7" max="7"/>
    <col width="34" customWidth="1" min="8" max="8"/>
  </cols>
  <sheetData>
    <row r="1">
      <c r="A1" s="1" t="inlineStr">
        <is>
          <t>Sandoz - revenue build: generics vs biosimilars ($bn)</t>
        </is>
      </c>
    </row>
    <row r="2">
      <c r="A2" s="2" t="inlineStr">
        <is>
          <t>FY2025 actuals per source. 2026E/2027E are analyst estimates (E). Reports in USD; listed in CHF.</t>
        </is>
      </c>
    </row>
    <row r="4">
      <c r="A4" s="3" t="inlineStr">
        <is>
          <t>Segment</t>
        </is>
      </c>
      <c r="B4" s="3" t="inlineStr">
        <is>
          <t>FY2025</t>
        </is>
      </c>
      <c r="C4" s="3" t="inlineStr">
        <is>
          <t>'26E gr.</t>
        </is>
      </c>
      <c r="D4" s="3" t="inlineStr">
        <is>
          <t>2026E</t>
        </is>
      </c>
      <c r="E4" s="3" t="inlineStr">
        <is>
          <t>'27E gr.</t>
        </is>
      </c>
      <c r="F4" s="3" t="inlineStr">
        <is>
          <t>2027E</t>
        </is>
      </c>
      <c r="G4" s="3" t="inlineStr">
        <is>
          <t>Notes</t>
        </is>
      </c>
      <c r="H4" s="3" t="inlineStr">
        <is>
          <t>Source</t>
        </is>
      </c>
    </row>
    <row r="5">
      <c r="A5" s="4" t="inlineStr">
        <is>
          <t>Biosimilars</t>
        </is>
      </c>
      <c r="B5" s="5" t="n">
        <v>3.29</v>
      </c>
      <c r="C5" s="5" t="inlineStr">
        <is>
          <t>+14%</t>
        </is>
      </c>
      <c r="D5" s="5" t="n">
        <v>3.75</v>
      </c>
      <c r="E5" s="5" t="inlineStr">
        <is>
          <t>+15%</t>
        </is>
      </c>
      <c r="F5" s="5" t="n">
        <v>4.31</v>
      </c>
      <c r="G5" s="5" t="inlineStr">
        <is>
          <t>Hyrimoz, Pyzchiva, Omnitrope, denosumab</t>
        </is>
      </c>
      <c r="H5" s="6" t="inlineStr">
        <is>
          <t>Investing.com - Sandoz FY2025 results</t>
        </is>
      </c>
    </row>
    <row r="6">
      <c r="A6" s="4" t="inlineStr">
        <is>
          <t>Generics</t>
        </is>
      </c>
      <c r="B6" s="5" t="n">
        <v>7.79</v>
      </c>
      <c r="C6" s="5" t="inlineStr">
        <is>
          <t>-1%</t>
        </is>
      </c>
      <c r="D6" s="5" t="n">
        <v>7.71</v>
      </c>
      <c r="E6" s="5" t="inlineStr">
        <is>
          <t>flat</t>
        </is>
      </c>
      <c r="F6" s="5" t="n">
        <v>7.71</v>
      </c>
      <c r="G6" s="5" t="inlineStr">
        <is>
          <t>Pricing -low/mid SD; portfolio pruning</t>
        </is>
      </c>
      <c r="H6" s="6" t="inlineStr">
        <is>
          <t>Investing.com - Sandoz FY2025 results</t>
        </is>
      </c>
    </row>
    <row r="7">
      <c r="A7" s="7" t="inlineStr">
        <is>
          <t>TOTAL NET SALES</t>
        </is>
      </c>
      <c r="B7" s="8" t="n">
        <v>11.09</v>
      </c>
      <c r="C7" s="8" t="inlineStr">
        <is>
          <t>+5%</t>
        </is>
      </c>
      <c r="D7" s="8" t="n">
        <v>11.46</v>
      </c>
      <c r="E7" s="8" t="inlineStr">
        <is>
          <t>+5%</t>
        </is>
      </c>
      <c r="F7" s="8" t="n">
        <v>12.02</v>
      </c>
      <c r="G7" s="8" t="inlineStr">
        <is>
          <t>Mid-single-digit, in line w/ guide</t>
        </is>
      </c>
      <c r="H7" s="6" t="inlineStr">
        <is>
          <t>Pharmaceutical Daily - Sandoz 2025/2026 outlook</t>
        </is>
      </c>
    </row>
    <row r="8">
      <c r="A8" s="4" t="inlineStr">
        <is>
          <t>Biosimilar mix %</t>
        </is>
      </c>
      <c r="B8" s="5" t="inlineStr">
        <is>
          <t>30%</t>
        </is>
      </c>
      <c r="C8" s="5" t="inlineStr"/>
      <c r="D8" s="5" t="inlineStr">
        <is>
          <t>~33%</t>
        </is>
      </c>
      <c r="E8" s="5" t="inlineStr"/>
      <c r="F8" s="5" t="inlineStr">
        <is>
          <t>~36%</t>
        </is>
      </c>
      <c r="G8" s="5" t="inlineStr">
        <is>
          <t>The margin-expansion lever</t>
        </is>
      </c>
      <c r="H8" s="9" t="inlineStr"/>
    </row>
  </sheetData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30" customWidth="1" min="4" max="4"/>
    <col width="14" customWidth="1" min="5" max="5"/>
    <col width="30" customWidth="1" min="6" max="6"/>
  </cols>
  <sheetData>
    <row r="1">
      <c r="A1" s="1" t="inlineStr">
        <is>
          <t>Sandoz - EV/EBITDA valuation scenarios</t>
        </is>
      </c>
    </row>
    <row r="2">
      <c r="A2" s="2" t="inlineStr">
        <is>
          <t>On ~$2.7bn 2026E core EBITDA. Net debt ~$3.6bn. Base case sits BELOW current ~CHF66 -&gt; Hold.</t>
        </is>
      </c>
    </row>
    <row r="4">
      <c r="A4" s="3" t="inlineStr">
        <is>
          <t>Scenario</t>
        </is>
      </c>
      <c r="B4" s="3" t="inlineStr">
        <is>
          <t>2026E core EBITDA</t>
        </is>
      </c>
      <c r="C4" s="3" t="inlineStr">
        <is>
          <t>Multiple</t>
        </is>
      </c>
      <c r="D4" s="3" t="inlineStr">
        <is>
          <t>Implied equity (less $3.6bn debt)</t>
        </is>
      </c>
      <c r="E4" s="3" t="inlineStr">
        <is>
          <t>Rough price</t>
        </is>
      </c>
      <c r="F4" s="3" t="inlineStr">
        <is>
          <t>Source</t>
        </is>
      </c>
    </row>
    <row r="5">
      <c r="A5" s="4" t="inlineStr">
        <is>
          <t>Bear (pricing worse)</t>
        </is>
      </c>
      <c r="B5" s="5" t="inlineStr">
        <is>
          <t>$2.6bn</t>
        </is>
      </c>
      <c r="C5" s="5" t="inlineStr">
        <is>
          <t>9x</t>
        </is>
      </c>
      <c r="D5" s="5" t="inlineStr">
        <is>
          <t>~$19.8bn</t>
        </is>
      </c>
      <c r="E5" s="5" t="inlineStr">
        <is>
          <t>~CHF 37</t>
        </is>
      </c>
      <c r="F5" s="6" t="inlineStr">
        <is>
          <t>Pharmaceutical Daily - Sandoz 2025/2026 outlook</t>
        </is>
      </c>
    </row>
    <row r="6">
      <c r="A6" s="4" t="inlineStr">
        <is>
          <t>Base</t>
        </is>
      </c>
      <c r="B6" s="5" t="inlineStr">
        <is>
          <t>$2.7bn</t>
        </is>
      </c>
      <c r="C6" s="5" t="inlineStr">
        <is>
          <t>11x</t>
        </is>
      </c>
      <c r="D6" s="5" t="inlineStr">
        <is>
          <t>~$26.1bn</t>
        </is>
      </c>
      <c r="E6" s="5" t="inlineStr">
        <is>
          <t>~CHF 48-50</t>
        </is>
      </c>
      <c r="F6" s="6" t="inlineStr">
        <is>
          <t>Pharmaceutical Daily - Sandoz 2025/2026 outlook</t>
        </is>
      </c>
    </row>
    <row r="7">
      <c r="A7" s="4" t="inlineStr">
        <is>
          <t>Bull (margin + biosimilar beats)</t>
        </is>
      </c>
      <c r="B7" s="5" t="inlineStr">
        <is>
          <t>$2.9bn</t>
        </is>
      </c>
      <c r="C7" s="5" t="inlineStr">
        <is>
          <t>13x</t>
        </is>
      </c>
      <c r="D7" s="5" t="inlineStr">
        <is>
          <t>~$34bn</t>
        </is>
      </c>
      <c r="E7" s="5" t="inlineStr">
        <is>
          <t>~CHF 63</t>
        </is>
      </c>
      <c r="F7" s="6" t="inlineStr">
        <is>
          <t>Pharmaceutical Daily - Sandoz 2025/2026 outlook</t>
        </is>
      </c>
    </row>
  </sheetData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95" customWidth="1" min="3" max="3"/>
  </cols>
  <sheetData>
    <row r="1">
      <c r="A1" s="1" t="inlineStr">
        <is>
          <t>Sources - all links used in this model</t>
        </is>
      </c>
    </row>
    <row r="2">
      <c r="A2" s="2" t="inlineStr">
        <is>
          <t>Click any link to open the source. Note: SEC and some press-release pages may block automated fetch but are viewable in a browser.</t>
        </is>
      </c>
    </row>
    <row r="4">
      <c r="A4" s="3" t="inlineStr">
        <is>
          <t>#</t>
        </is>
      </c>
      <c r="B4" s="3" t="inlineStr">
        <is>
          <t>Source</t>
        </is>
      </c>
      <c r="C4" s="3" t="inlineStr">
        <is>
          <t>Link</t>
        </is>
      </c>
    </row>
    <row r="5">
      <c r="A5" s="9" t="n">
        <v>1</v>
      </c>
      <c r="B5" s="4" t="inlineStr">
        <is>
          <t>Seeking Alpha - Amgen 2026 guidance</t>
        </is>
      </c>
      <c r="C5" s="6" t="inlineStr">
        <is>
          <t>https://seekingalpha.com/news/4546762-amgen-outlines-37b-38_4b-2026-revenue-target-as-repatha-evenity-and-tezspire-drive-momentum</t>
        </is>
      </c>
    </row>
    <row r="6">
      <c r="A6" s="9" t="n">
        <v>2</v>
      </c>
      <c r="B6" s="4" t="inlineStr">
        <is>
          <t>stockanalysis.com - AMGN statistics</t>
        </is>
      </c>
      <c r="C6" s="6" t="inlineStr">
        <is>
          <t>https://stockanalysis.com/stocks/amgn/statistics/</t>
        </is>
      </c>
    </row>
    <row r="7">
      <c r="A7" s="9" t="n">
        <v>3</v>
      </c>
      <c r="B7" s="4" t="inlineStr">
        <is>
          <t>SEC - Amgen Q1 2026 8-K</t>
        </is>
      </c>
      <c r="C7" s="6" t="inlineStr">
        <is>
          <t>https://www.sec.gov/Archives/edgar/data/0000318154/000031815426000054/amgn-20260331earningsrelea.htm</t>
        </is>
      </c>
    </row>
    <row r="8">
      <c r="A8" s="9" t="n">
        <v>4</v>
      </c>
      <c r="B8" s="4" t="inlineStr">
        <is>
          <t>Amgen newsroom - Q1 2026 results</t>
        </is>
      </c>
      <c r="C8" s="6" t="inlineStr">
        <is>
          <t>https://www.amgen.com/newsroom/press-releases/2026/04/amgen-reports-first-quarter-2026-financial-results</t>
        </is>
      </c>
    </row>
    <row r="9">
      <c r="A9" s="9" t="n">
        <v>5</v>
      </c>
      <c r="B9" s="4" t="inlineStr">
        <is>
          <t>SEC - Amgen FY2025 8-K (margin/tax)</t>
        </is>
      </c>
      <c r="C9" s="6" t="inlineStr">
        <is>
          <t>https://www.sec.gov/Archives/edgar/data/0000318154/000031815426000003/amgn-20251231earningsrelea.htm</t>
        </is>
      </c>
    </row>
    <row r="10">
      <c r="A10" s="9" t="n">
        <v>6</v>
      </c>
      <c r="B10" s="4" t="inlineStr">
        <is>
          <t>Amgen - MariTide Phase 2 weight loss</t>
        </is>
      </c>
      <c r="C10" s="6" t="inlineStr">
        <is>
          <t>https://investors.amgen.com/news-releases/news-release-details/amgen-announces-robust-weight-loss-maritide-people-living/</t>
        </is>
      </c>
    </row>
    <row r="11">
      <c r="A11" s="9" t="n">
        <v>7</v>
      </c>
      <c r="B11" s="4" t="inlineStr">
        <is>
          <t>Labiotech - Amgen pipeline strategy 2026</t>
        </is>
      </c>
      <c r="C11" s="6" t="inlineStr">
        <is>
          <t>https://www.labiotech.eu/in-depth/amgen-pipeline-strategy/</t>
        </is>
      </c>
    </row>
    <row r="12">
      <c r="A12" s="9" t="n">
        <v>8</v>
      </c>
      <c r="B12" s="4" t="inlineStr">
        <is>
          <t>FiercePharma/Evaluate - obesity peak sales</t>
        </is>
      </c>
      <c r="C12" s="6" t="inlineStr">
        <is>
          <t>https://www.fiercepharma.com/pharma/2030-eli-lilly-will-generate-113b-drug-sales-including-62b-mounjaro-zepbound-evaluate</t>
        </is>
      </c>
    </row>
    <row r="13">
      <c r="A13" s="9" t="n">
        <v>9</v>
      </c>
      <c r="B13" s="4" t="inlineStr">
        <is>
          <t>Investing.com - Danaher Q4 2025 segments</t>
        </is>
      </c>
      <c r="C13" s="6" t="inlineStr">
        <is>
          <t>https://www.investing.com/news/company-news/danaher-q4-2025-slides-revenue-growth-solid-despite-margin-pressure-93CH-4470615</t>
        </is>
      </c>
    </row>
    <row r="14">
      <c r="A14" s="9" t="n">
        <v>10</v>
      </c>
      <c r="B14" s="4" t="inlineStr">
        <is>
          <t>StockTitan - Danaher 2025 overview</t>
        </is>
      </c>
      <c r="C14" s="6" t="inlineStr">
        <is>
          <t>https://www.stocktitan.net/sec-filings/DHR/ars-danaher-corp-de-sec-filing-3f1740b11e9d.html</t>
        </is>
      </c>
    </row>
    <row r="15">
      <c r="A15" s="9" t="n">
        <v>11</v>
      </c>
      <c r="B15" s="4" t="inlineStr">
        <is>
          <t>TIKR - Danaher forecast/valuation</t>
        </is>
      </c>
      <c r="C15" s="6" t="inlineStr">
        <is>
          <t>https://www.tikr.com/blog/danaher-stock-is-down-19-in-the-past-3-months-could-dhr-reach-248</t>
        </is>
      </c>
    </row>
    <row r="16">
      <c r="A16" s="9" t="n">
        <v>12</v>
      </c>
      <c r="B16" s="4" t="inlineStr">
        <is>
          <t>Investing.com - Sandoz FY2025 results</t>
        </is>
      </c>
      <c r="C16" s="6" t="inlineStr">
        <is>
          <t>https://www.investing.com/news/company-news/sandoz-fy-2025-slides-biosimilar-surge-drives-24-stock-gain-93CH-4523555</t>
        </is>
      </c>
    </row>
    <row r="17">
      <c r="A17" s="9" t="n">
        <v>13</v>
      </c>
      <c r="B17" s="4" t="inlineStr">
        <is>
          <t>Pharmaceutical Daily - Sandoz 2025/2026 outlook</t>
        </is>
      </c>
      <c r="C17" s="6" t="inlineStr">
        <is>
          <t>https://pharmaceuticaldaily.com/sandoz-reports-7-revenue-growth-in-2025-expands-biosimilars-and-projects-stronger-2026-outlook/</t>
        </is>
      </c>
    </row>
    <row r="18">
      <c r="A18" s="9" t="n">
        <v>14</v>
      </c>
      <c r="B18" s="4" t="inlineStr">
        <is>
          <t>Investing.com - Sandoz price/market data</t>
        </is>
      </c>
      <c r="C18" s="6" t="inlineStr">
        <is>
          <t>https://www.investing.com/equities/sandoz</t>
        </is>
      </c>
    </row>
    <row r="19">
      <c r="A19" s="9" t="n">
        <v>15</v>
      </c>
      <c r="B19" s="4" t="inlineStr">
        <is>
          <t>stockanalysis.com - GH statistics</t>
        </is>
      </c>
      <c r="C19" s="6" t="inlineStr">
        <is>
          <t>https://stockanalysis.com/stocks/gh/</t>
        </is>
      </c>
    </row>
  </sheetData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2026-05-28T18:10:09Z</dcterms:created>
  <dcterms:modified xsi:type="dcterms:W3CDTF">2026-05-28T18:10:09Z</dcterms:modified>
</cp:coreProperties>
</file>